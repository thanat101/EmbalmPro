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pfeifer/Documents/AnubisSDS/AnubisSDS/"/>
    </mc:Choice>
  </mc:AlternateContent>
  <xr:revisionPtr revIDLastSave="0" documentId="8_{E9922FBF-A59F-B048-8B23-F108D3C0D719}" xr6:coauthVersionLast="46" xr6:coauthVersionMax="46" xr10:uidLastSave="{00000000-0000-0000-0000-000000000000}"/>
  <bookViews>
    <workbookView xWindow="2340" yWindow="780" windowWidth="27540" windowHeight="20000" xr2:uid="{4F9BF564-C685-4841-9B0F-8F3CF29A69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13" i="1"/>
  <c r="D11" i="1"/>
  <c r="D9" i="1"/>
  <c r="D6" i="1"/>
  <c r="B6" i="1"/>
</calcChain>
</file>

<file path=xl/sharedStrings.xml><?xml version="1.0" encoding="utf-8"?>
<sst xmlns="http://schemas.openxmlformats.org/spreadsheetml/2006/main" count="4" uniqueCount="4">
  <si>
    <t>/2</t>
  </si>
  <si>
    <t>Vinton</t>
  </si>
  <si>
    <t>House</t>
  </si>
  <si>
    <t>wired $1,700,000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</si>
</sst>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0EA0-A5C5-E347-BBBA-218503E1F14B}">
  <dimension ref="B2:E23"/>
  <sheetViews>
    <sheetView tabSelected="1" zoomScale="167" workbookViewId="0">
      <selection activeCell="E22" sqref="E22"/>
    </sheetView>
  </sheetViews>
  <sheetFormatPr baseColWidth="10" defaultRowHeight="16" x14ac:dyDescent="0.2"/>
  <cols>
    <col min="2" max="2" width="19.33203125" customWidth="1"/>
    <col min="3" max="3" width="10.1640625" customWidth="1"/>
    <col min="4" max="4" width="18.1640625" customWidth="1"/>
    <col min="5" max="5" width="22.33203125" customWidth="1"/>
  </cols>
  <sheetData>
    <row r="2" spans="2:5" x14ac:dyDescent="0.2">
      <c r="B2" s="1">
        <v>5014537</v>
      </c>
      <c r="C2" s="1"/>
      <c r="D2" s="1"/>
    </row>
    <row r="3" spans="2:5" x14ac:dyDescent="0.2">
      <c r="B3" s="1">
        <v>908458</v>
      </c>
      <c r="C3" s="1"/>
      <c r="D3" s="1"/>
    </row>
    <row r="4" spans="2:5" x14ac:dyDescent="0.2">
      <c r="B4" s="1">
        <v>698000</v>
      </c>
      <c r="C4" s="1"/>
      <c r="D4" s="1"/>
    </row>
    <row r="5" spans="2:5" x14ac:dyDescent="0.2">
      <c r="B5" s="1"/>
      <c r="C5" s="1"/>
      <c r="D5" s="1"/>
    </row>
    <row r="6" spans="2:5" x14ac:dyDescent="0.2">
      <c r="B6" s="1">
        <f>SUM(B2:B5)</f>
        <v>6620995</v>
      </c>
      <c r="C6" s="2" t="s">
        <v>0</v>
      </c>
      <c r="D6" s="1">
        <f>+B6/2</f>
        <v>3310497.5</v>
      </c>
    </row>
    <row r="7" spans="2:5" x14ac:dyDescent="0.2">
      <c r="B7" s="1"/>
      <c r="C7" s="1"/>
      <c r="D7" s="1"/>
    </row>
    <row r="8" spans="2:5" x14ac:dyDescent="0.2">
      <c r="B8" s="1" t="s">
        <v>2</v>
      </c>
      <c r="C8" s="1">
        <v>-500</v>
      </c>
      <c r="D8" s="1"/>
    </row>
    <row r="9" spans="2:5" x14ac:dyDescent="0.2">
      <c r="B9" s="1"/>
      <c r="C9" s="1"/>
      <c r="D9" s="1">
        <f>+D6-500000</f>
        <v>2810497.5</v>
      </c>
    </row>
    <row r="10" spans="2:5" x14ac:dyDescent="0.2">
      <c r="B10" s="1"/>
      <c r="C10" s="1"/>
      <c r="D10" s="1"/>
      <c r="E10" s="3" t="s">
        <v>3</v>
      </c>
    </row>
    <row r="11" spans="2:5" x14ac:dyDescent="0.2">
      <c r="B11" s="1" t="s">
        <v>1</v>
      </c>
      <c r="C11" s="1">
        <v>-698</v>
      </c>
      <c r="D11" s="1">
        <f>+D9-698000</f>
        <v>2112497.5</v>
      </c>
    </row>
    <row r="12" spans="2:5" x14ac:dyDescent="0.2">
      <c r="B12" s="1"/>
      <c r="C12" s="1"/>
      <c r="D12" s="1"/>
    </row>
    <row r="13" spans="2:5" x14ac:dyDescent="0.2">
      <c r="B13" s="1"/>
      <c r="C13" s="1"/>
      <c r="D13" s="1"/>
      <c r="E13" s="1">
        <f>+D11-1700000</f>
        <v>412497.5</v>
      </c>
    </row>
    <row r="14" spans="2:5" x14ac:dyDescent="0.2">
      <c r="B14" s="1"/>
      <c r="C14" s="1"/>
      <c r="D14" s="1"/>
    </row>
    <row r="15" spans="2:5" x14ac:dyDescent="0.2">
      <c r="B15" s="1"/>
      <c r="C15" s="1"/>
      <c r="D15" s="1"/>
    </row>
    <row r="16" spans="2:5" x14ac:dyDescent="0.2">
      <c r="B16" s="1"/>
      <c r="C16" s="1"/>
      <c r="D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>
        <v>3439425</v>
      </c>
    </row>
    <row r="19" spans="2:5" x14ac:dyDescent="0.2">
      <c r="B19" s="1"/>
      <c r="C19" s="1"/>
      <c r="D19" s="1"/>
      <c r="E19" s="1">
        <v>1600000</v>
      </c>
    </row>
    <row r="20" spans="2:5" x14ac:dyDescent="0.2">
      <c r="B20" s="1"/>
      <c r="C20" s="1"/>
      <c r="D20" s="1"/>
      <c r="E20" s="1">
        <v>100000</v>
      </c>
    </row>
    <row r="21" spans="2:5" x14ac:dyDescent="0.2">
      <c r="E21" s="1"/>
    </row>
    <row r="22" spans="2:5" x14ac:dyDescent="0.2">
      <c r="E22" s="1">
        <f>SUM(E18:E21)</f>
        <v>5139425</v>
      </c>
    </row>
    <row r="23" spans="2:5" x14ac:dyDescent="0.2">
      <c r="E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Pfeifer</dc:creator>
  <cp:lastModifiedBy>Austin Pfeifer</cp:lastModifiedBy>
  <dcterms:created xsi:type="dcterms:W3CDTF">2025-10-10T14:17:07Z</dcterms:created>
  <dcterms:modified xsi:type="dcterms:W3CDTF">2025-10-10T14:41:21Z</dcterms:modified>
</cp:coreProperties>
</file>