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pfeifer/Documents/AnubisSDS/AnubisSDS/"/>
    </mc:Choice>
  </mc:AlternateContent>
  <xr:revisionPtr revIDLastSave="0" documentId="13_ncr:1_{60D3896F-9AD1-EB4E-9551-6351692CC344}" xr6:coauthVersionLast="46" xr6:coauthVersionMax="46" xr10:uidLastSave="{00000000-0000-0000-0000-000000000000}"/>
  <bookViews>
    <workbookView xWindow="300" yWindow="1340" windowWidth="28040" windowHeight="17440" xr2:uid="{87B07BA1-7583-B942-94CE-62D6FB1A80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24" i="1"/>
  <c r="I22" i="1"/>
  <c r="H22" i="1"/>
  <c r="F18" i="1"/>
  <c r="F14" i="1"/>
  <c r="F11" i="1"/>
  <c r="E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2" fillId="0" borderId="0" xfId="1" applyNumberFormat="1" applyFont="1"/>
    <xf numFmtId="0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470C-4521-4048-A87C-D6286CBDCB5C}">
  <dimension ref="E3:K27"/>
  <sheetViews>
    <sheetView tabSelected="1" topLeftCell="A3" workbookViewId="0">
      <selection activeCell="E23" sqref="E23"/>
    </sheetView>
  </sheetViews>
  <sheetFormatPr baseColWidth="10" defaultRowHeight="16" x14ac:dyDescent="0.2"/>
  <cols>
    <col min="1" max="1" width="2.83203125" customWidth="1"/>
    <col min="2" max="2" width="2.6640625" customWidth="1"/>
    <col min="3" max="3" width="2.1640625" customWidth="1"/>
    <col min="4" max="4" width="2.83203125" customWidth="1"/>
    <col min="5" max="5" width="29.33203125" customWidth="1"/>
    <col min="6" max="6" width="25.1640625" customWidth="1"/>
    <col min="7" max="7" width="6.1640625" customWidth="1"/>
    <col min="8" max="8" width="30.33203125" customWidth="1"/>
    <col min="9" max="9" width="32.6640625" customWidth="1"/>
    <col min="10" max="10" width="32" customWidth="1"/>
  </cols>
  <sheetData>
    <row r="3" spans="5:11" ht="26" x14ac:dyDescent="0.3">
      <c r="E3" s="1"/>
      <c r="F3" s="1"/>
      <c r="G3" s="1"/>
      <c r="H3" s="1"/>
      <c r="I3" s="1"/>
      <c r="J3" s="1"/>
      <c r="K3" s="1"/>
    </row>
    <row r="4" spans="5:11" ht="26" x14ac:dyDescent="0.3">
      <c r="E4" s="1"/>
      <c r="F4" s="1"/>
      <c r="G4" s="1"/>
      <c r="H4" s="1"/>
      <c r="I4" s="1"/>
      <c r="J4" s="1"/>
      <c r="K4" s="1"/>
    </row>
    <row r="5" spans="5:11" ht="26" x14ac:dyDescent="0.3">
      <c r="E5" s="1">
        <v>5014537.04</v>
      </c>
      <c r="F5" s="1"/>
      <c r="G5" s="1"/>
      <c r="H5" s="1"/>
      <c r="I5" s="1"/>
      <c r="J5" s="1"/>
      <c r="K5" s="1"/>
    </row>
    <row r="6" spans="5:11" ht="26" x14ac:dyDescent="0.3">
      <c r="E6" s="1">
        <v>908458.61</v>
      </c>
      <c r="F6" s="1"/>
      <c r="G6" s="1"/>
      <c r="H6" s="1"/>
      <c r="I6" s="1"/>
      <c r="J6" s="1">
        <v>1700000</v>
      </c>
      <c r="K6" s="1"/>
    </row>
    <row r="7" spans="5:11" ht="26" x14ac:dyDescent="0.3">
      <c r="E7" s="1">
        <v>534750.15</v>
      </c>
      <c r="F7" s="1"/>
      <c r="G7" s="1"/>
      <c r="H7" s="1"/>
      <c r="I7" s="1"/>
      <c r="J7" s="1">
        <v>534750</v>
      </c>
      <c r="K7" s="1"/>
    </row>
    <row r="8" spans="5:11" ht="26" x14ac:dyDescent="0.3">
      <c r="E8" s="1">
        <v>166279.78</v>
      </c>
      <c r="F8" s="1"/>
      <c r="G8" s="1"/>
      <c r="H8" s="1"/>
      <c r="I8" s="1"/>
      <c r="J8" s="1">
        <v>166279.78</v>
      </c>
      <c r="K8" s="1"/>
    </row>
    <row r="9" spans="5:11" ht="26" x14ac:dyDescent="0.3">
      <c r="E9" s="1"/>
      <c r="F9" s="1"/>
      <c r="G9" s="1"/>
      <c r="H9" s="1"/>
      <c r="I9" s="1"/>
      <c r="J9" s="1"/>
      <c r="K9" s="1"/>
    </row>
    <row r="10" spans="5:11" ht="26" x14ac:dyDescent="0.3">
      <c r="E10" s="1"/>
      <c r="F10" s="1"/>
      <c r="G10" s="1"/>
      <c r="H10" s="1"/>
      <c r="I10" s="1"/>
      <c r="J10" s="1">
        <f>SUM(J6:J9)</f>
        <v>2401029.7799999998</v>
      </c>
      <c r="K10" s="1"/>
    </row>
    <row r="11" spans="5:11" ht="26" x14ac:dyDescent="0.3">
      <c r="E11" s="1">
        <f>SUM(E5:E10)</f>
        <v>6624025.580000001</v>
      </c>
      <c r="F11" s="1">
        <f>E11/2</f>
        <v>3312012.7900000005</v>
      </c>
      <c r="G11" s="1"/>
      <c r="H11" s="1"/>
      <c r="I11" s="1"/>
      <c r="J11" s="1"/>
      <c r="K11" s="1"/>
    </row>
    <row r="12" spans="5:11" ht="26" x14ac:dyDescent="0.3">
      <c r="E12" s="1"/>
      <c r="F12" s="1">
        <v>-500000</v>
      </c>
      <c r="G12" s="1"/>
      <c r="H12" s="1"/>
      <c r="I12" s="1"/>
      <c r="J12" s="1"/>
      <c r="K12" s="1"/>
    </row>
    <row r="13" spans="5:11" ht="26" x14ac:dyDescent="0.3">
      <c r="E13" s="1"/>
      <c r="F13" s="1"/>
      <c r="G13" s="1"/>
      <c r="H13" s="1"/>
      <c r="I13" s="1"/>
      <c r="J13" s="1"/>
      <c r="K13" s="1"/>
    </row>
    <row r="14" spans="5:11" ht="26" x14ac:dyDescent="0.3">
      <c r="E14" s="1"/>
      <c r="F14" s="1">
        <f>SUM(F11:F13)</f>
        <v>2812012.7900000005</v>
      </c>
      <c r="G14" s="1"/>
      <c r="H14" s="1"/>
      <c r="I14" s="1"/>
      <c r="J14" s="1"/>
      <c r="K14" s="1"/>
    </row>
    <row r="15" spans="5:11" ht="26" x14ac:dyDescent="0.3">
      <c r="E15" s="1"/>
      <c r="G15" s="1"/>
      <c r="H15" s="1"/>
      <c r="I15" s="1"/>
      <c r="J15" s="1"/>
      <c r="K15" s="1"/>
    </row>
    <row r="16" spans="5:11" ht="26" x14ac:dyDescent="0.3">
      <c r="E16" s="1"/>
      <c r="F16" s="1">
        <v>-534750.15</v>
      </c>
      <c r="G16" s="1"/>
      <c r="H16" s="1"/>
      <c r="I16" s="1"/>
      <c r="J16" s="1"/>
      <c r="K16" s="1"/>
    </row>
    <row r="17" spans="5:11" ht="26" x14ac:dyDescent="0.3">
      <c r="E17" s="1"/>
      <c r="F17" s="1">
        <v>-166279.78</v>
      </c>
      <c r="G17" s="1"/>
      <c r="H17" s="1"/>
      <c r="I17" s="1"/>
      <c r="J17" s="1"/>
      <c r="K17" s="1"/>
    </row>
    <row r="18" spans="5:11" ht="26" x14ac:dyDescent="0.3">
      <c r="E18" s="1"/>
      <c r="F18" s="1">
        <f>SUM(F14:F17)</f>
        <v>2110982.8600000008</v>
      </c>
      <c r="G18" s="1"/>
      <c r="H18" s="1">
        <v>2110982.86</v>
      </c>
      <c r="I18" s="1">
        <v>3312012.79</v>
      </c>
      <c r="J18" s="1"/>
      <c r="K18" s="1"/>
    </row>
    <row r="19" spans="5:11" ht="26" x14ac:dyDescent="0.3">
      <c r="E19" s="1"/>
      <c r="F19" s="1"/>
      <c r="G19" s="1"/>
      <c r="H19" s="1">
        <v>534750</v>
      </c>
      <c r="I19" s="1">
        <v>500000</v>
      </c>
      <c r="J19" s="1"/>
      <c r="K19" s="1"/>
    </row>
    <row r="20" spans="5:11" ht="26" x14ac:dyDescent="0.3">
      <c r="E20" s="1"/>
      <c r="F20" s="1"/>
      <c r="G20" s="1"/>
      <c r="H20" s="1">
        <v>166279.78</v>
      </c>
      <c r="I20" s="1"/>
      <c r="J20" s="1"/>
      <c r="K20" s="1"/>
    </row>
    <row r="21" spans="5:11" ht="26" x14ac:dyDescent="0.3">
      <c r="E21" s="1"/>
      <c r="F21" s="1"/>
      <c r="G21" s="1"/>
      <c r="H21" s="1"/>
      <c r="I21" s="1"/>
      <c r="J21" s="1"/>
      <c r="K21" s="1"/>
    </row>
    <row r="22" spans="5:11" ht="26" x14ac:dyDescent="0.3">
      <c r="E22" s="1"/>
      <c r="F22" s="1"/>
      <c r="G22" s="1"/>
      <c r="H22" s="1">
        <f>SUM(H18:H21)</f>
        <v>2812012.6399999997</v>
      </c>
      <c r="I22" s="1">
        <f>SUM(I18:I21)</f>
        <v>3812012.79</v>
      </c>
      <c r="J22" s="1"/>
      <c r="K22" s="1"/>
    </row>
    <row r="23" spans="5:11" ht="26" x14ac:dyDescent="0.3">
      <c r="E23" s="2">
        <v>800291598</v>
      </c>
      <c r="F23" s="1"/>
      <c r="G23" s="1"/>
      <c r="H23" s="1"/>
      <c r="I23" s="1"/>
      <c r="J23" s="1"/>
      <c r="K23" s="1"/>
    </row>
    <row r="24" spans="5:11" ht="26" x14ac:dyDescent="0.3">
      <c r="E24" s="1"/>
      <c r="F24" s="1"/>
      <c r="G24" s="1"/>
      <c r="H24" s="1"/>
      <c r="I24" s="1"/>
      <c r="J24" s="1">
        <f>I22+H22</f>
        <v>6624025.4299999997</v>
      </c>
      <c r="K24" s="1"/>
    </row>
    <row r="25" spans="5:11" ht="26" x14ac:dyDescent="0.3">
      <c r="E25" s="1"/>
      <c r="F25" s="1"/>
      <c r="G25" s="1"/>
      <c r="H25" s="1"/>
      <c r="I25" s="1"/>
      <c r="J25" s="1"/>
      <c r="K25" s="1"/>
    </row>
    <row r="26" spans="5:11" ht="26" x14ac:dyDescent="0.3">
      <c r="E26" s="1"/>
      <c r="F26" s="1"/>
      <c r="G26" s="1"/>
      <c r="H26" s="1"/>
      <c r="I26" s="1"/>
      <c r="J26" s="1"/>
      <c r="K26" s="1"/>
    </row>
    <row r="27" spans="5:11" ht="26" x14ac:dyDescent="0.3"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Pfeifer</dc:creator>
  <cp:lastModifiedBy>Austin Pfeifer</cp:lastModifiedBy>
  <dcterms:created xsi:type="dcterms:W3CDTF">2025-10-01T13:50:15Z</dcterms:created>
  <dcterms:modified xsi:type="dcterms:W3CDTF">2025-10-01T15:22:04Z</dcterms:modified>
</cp:coreProperties>
</file>